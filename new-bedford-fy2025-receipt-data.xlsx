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eipt" sheetId="1" state="visible" r:id="rId3"/>
    <sheet name="Data" sheetId="2" state="visible" r:id="rId4"/>
    <sheet name="No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<sst xmlns="http://schemas.openxmlformats.org/spreadsheetml/2006/main" count="162" uniqueCount="123">
  <si>
    <t xml:space="preserve">New Bedford FY2025 Taxpayer Receipt</t>
  </si>
  <si>
    <t xml:space="preserve">Where did your local tax payments go in FY2025?  —  interactive worksheet</t>
  </si>
  <si>
    <t xml:space="preserve">Your home’s assessed value</t>
  </si>
  <si>
    <t xml:space="preserve">← type your single-family home’s assessed value here</t>
  </si>
  <si>
    <t xml:space="preserve">Your estimated annual local taxes</t>
  </si>
  <si>
    <t xml:space="preserve">Property tax</t>
  </si>
  <si>
    <t xml:space="preserve">your assessed value × $11.31 per $1,000</t>
  </si>
  <si>
    <t xml:space="preserve">Motor vehicle excise</t>
  </si>
  <si>
    <t xml:space="preserve">FY2025 citywide average per household</t>
  </si>
  <si>
    <t xml:space="preserve">1 · WHERE THE CITY’S MONEY CAME FROM</t>
  </si>
  <si>
    <t xml:space="preserve">For every $1 of residential property tax, the city took in this much from each source.</t>
  </si>
  <si>
    <t xml:space="preserve">Revenue source</t>
  </si>
  <si>
    <t xml:space="preserve">FY2025 amount</t>
  </si>
  <si>
    <t xml:space="preserve">Per $1 residential</t>
  </si>
  <si>
    <t xml:space="preserve">State &amp; federal grants and charges for service</t>
  </si>
  <si>
    <t xml:space="preserve">Residential property tax</t>
  </si>
  <si>
    <t xml:space="preserve">Commercial, industrial &amp; personal property tax</t>
  </si>
  <si>
    <t xml:space="preserve">Unrestricted state aid</t>
  </si>
  <si>
    <t xml:space="preserve">Other local revenue</t>
  </si>
  <si>
    <t xml:space="preserve">Motor vehicle &amp; other excise</t>
  </si>
  <si>
    <t xml:space="preserve">Net transfers from enterprise funds</t>
  </si>
  <si>
    <t xml:space="preserve">Total city revenue</t>
  </si>
  <si>
    <t xml:space="preserve">2 · WHAT YOUR LOCAL TAX DOLLARS FUNDED</t>
  </si>
  <si>
    <t xml:space="preserve">Your local taxes, distributed across city functions by each function’s share of net local cost.</t>
  </si>
  <si>
    <t xml:space="preserve">City function</t>
  </si>
  <si>
    <t xml:space="preserve">Share of total</t>
  </si>
  <si>
    <t xml:space="preserve">Outside funding</t>
  </si>
  <si>
    <t xml:space="preserve">Your share</t>
  </si>
  <si>
    <t xml:space="preserve">Public safety</t>
  </si>
  <si>
    <t xml:space="preserve">Education — New Bedford Public Schools</t>
  </si>
  <si>
    <t xml:space="preserve">General government</t>
  </si>
  <si>
    <t xml:space="preserve">Charter school tuition assessment</t>
  </si>
  <si>
    <t xml:space="preserve">Public works</t>
  </si>
  <si>
    <t xml:space="preserve">Interest on long-term debt</t>
  </si>
  <si>
    <t xml:space="preserve">Culture &amp; recreation</t>
  </si>
  <si>
    <t xml:space="preserve">Health &amp; human services</t>
  </si>
  <si>
    <t xml:space="preserve">Community &amp; economic development</t>
  </si>
  <si>
    <t xml:space="preserve">—</t>
  </si>
  <si>
    <t xml:space="preserve">Your total local taxes</t>
  </si>
  <si>
    <t xml:space="preserve">Community &amp; economic development is fully grant-funded (CDBG/HUD); it draws nothing from local taxes.</t>
  </si>
  <si>
    <t xml:space="preserve">Built into every function above: roughly $77M in employee pensions and health insurance — close to a tenth of city spending.</t>
  </si>
  <si>
    <t xml:space="preserve">New Bedford FY2025 Taxpayer Receipt — Source Data</t>
  </si>
  <si>
    <t xml:space="preserve">Audited or reconciled FY2025 actuals. Hardcoded inputs in blue; formulas in black.</t>
  </si>
  <si>
    <t xml:space="preserve">KEY FIGURES</t>
  </si>
  <si>
    <t xml:space="preserve">Figure</t>
  </si>
  <si>
    <t xml:space="preserve">Value</t>
  </si>
  <si>
    <t xml:space="preserve">Unit</t>
  </si>
  <si>
    <t xml:space="preserve">Source</t>
  </si>
  <si>
    <t xml:space="preserve">Total governmental spending</t>
  </si>
  <si>
    <t xml:space="preserve">$</t>
  </si>
  <si>
    <t xml:space="preserve">New Bedford FY2025 ACFR, Statement of Activities, p. 24</t>
  </si>
  <si>
    <t xml:space="preserve">Total governmental revenue</t>
  </si>
  <si>
    <t xml:space="preserve">New Bedford FY2025 ACFR, Statement of Activities, p. 24 — program and general revenue plus net transfers</t>
  </si>
  <si>
    <t xml:space="preserve">Net local cost — all 9 functions</t>
  </si>
  <si>
    <t xml:space="preserve">Derived — sum of the functional ledger below</t>
  </si>
  <si>
    <t xml:space="preserve">Distribution base — 8 functions with positive net cost</t>
  </si>
  <si>
    <t xml:space="preserve">Derived — functional ledger excluding Community &amp; Economic Development</t>
  </si>
  <si>
    <t xml:space="preserve">Property tax revenue, net of abatements</t>
  </si>
  <si>
    <t xml:space="preserve">Residential share of the property tax levy</t>
  </si>
  <si>
    <t xml:space="preserve">share</t>
  </si>
  <si>
    <t xml:space="preserve">Derived from the ACFR assessed-value-by-class table, p. 144: residential assessed value of $9.819B of $11.753B total, taxed at $11.31 against the $22.85 CIP rate</t>
  </si>
  <si>
    <t xml:space="preserve">Derived — property tax revenue × residential share</t>
  </si>
  <si>
    <t xml:space="preserve">Derived — property tax revenue less residential property tax</t>
  </si>
  <si>
    <t xml:space="preserve">Citywide motor vehicle &amp; other excise</t>
  </si>
  <si>
    <t xml:space="preserve">New Bedford FY2025 ACFR, Statement of Activities, p. 24 — includes business-registered vehicles and boat excise</t>
  </si>
  <si>
    <t xml:space="preserve">New Bedford households</t>
  </si>
  <si>
    <t xml:space="preserve">count</t>
  </si>
  <si>
    <t xml:space="preserve">U.S. Census Bureau, 2020–2024 American Community Survey 5-year estimate</t>
  </si>
  <si>
    <t xml:space="preserve">Motor vehicle excise per household</t>
  </si>
  <si>
    <t xml:space="preserve">Derived — citywide excise divided by households</t>
  </si>
  <si>
    <t xml:space="preserve">Average single-family assessed value</t>
  </si>
  <si>
    <t xml:space="preserve">Massachusetts Department of Revenue, presented at New Bedford’s FY2025 tax classification hearing</t>
  </si>
  <si>
    <t xml:space="preserve">Residential tax rate</t>
  </si>
  <si>
    <t xml:space="preserve">per $1,000</t>
  </si>
  <si>
    <t xml:space="preserve">New Bedford FY2025 Tax Rate Recapitulation</t>
  </si>
  <si>
    <t xml:space="preserve">Average single-family tax bill</t>
  </si>
  <si>
    <t xml:space="preserve">Derived — average value × residential rate</t>
  </si>
  <si>
    <t xml:space="preserve">REVENUE SOURCES — WHERE THE CITY’S MONEY CAME FROM</t>
  </si>
  <si>
    <t xml:space="preserve">ACFR p. 24 — operating and capital grants plus charges for services</t>
  </si>
  <si>
    <t xml:space="preserve">Derived — see Key figures, row 12</t>
  </si>
  <si>
    <t xml:space="preserve">Derived — see Key figures, row 13</t>
  </si>
  <si>
    <t xml:space="preserve">ACFR p. 24 — net of the charter reimbursement reattributed to charter tuition</t>
  </si>
  <si>
    <t xml:space="preserve">ACFR p. 24 — penalties, interest, investment income, and other local receipts</t>
  </si>
  <si>
    <t xml:space="preserve">Derived — see Key figures, row 14</t>
  </si>
  <si>
    <t xml:space="preserve">ACFR p. 24 — transfers in less transfers out</t>
  </si>
  <si>
    <t xml:space="preserve">Total</t>
  </si>
  <si>
    <t xml:space="preserve">Equals total governmental revenue (row 7)</t>
  </si>
  <si>
    <t xml:space="preserve">GOVERNMENTAL FUNCTIONS — NET LOCAL COST</t>
  </si>
  <si>
    <t xml:space="preserve">Net local cost (FY2025)</t>
  </si>
  <si>
    <t xml:space="preserve">Outside-funded share</t>
  </si>
  <si>
    <t xml:space="preserve">ACFR p. 24 — net of program revenue and restricted aid</t>
  </si>
  <si>
    <t xml:space="preserve">ACFR p. 24</t>
  </si>
  <si>
    <t xml:space="preserve">DESE FY2025 charter reconciliation — gross $30,659,589 less $6,291,753 state reimbursement</t>
  </si>
  <si>
    <t xml:space="preserve">ACFR p. 24 — net local cost is slightly negative; fully grant-funded, shown as $0 on the receipt</t>
  </si>
  <si>
    <t xml:space="preserve">Total — all 9 functions</t>
  </si>
  <si>
    <t xml:space="preserve">Net local cost across the full ledger</t>
  </si>
  <si>
    <t xml:space="preserve">Distribution base — 8 positive-net functions</t>
  </si>
  <si>
    <t xml:space="preserve">Base used to distribute a household’s local taxes across functions</t>
  </si>
  <si>
    <t xml:space="preserve">New Bedford FY2025 Taxpayer Receipt — Workbook Notes</t>
  </si>
  <si>
    <t xml:space="preserve">What this is</t>
  </si>
  <si>
    <t xml:space="preserve">An auditable companion to the New Bedford FY2025 Taxpayer Receipt. The Receipt sheet reproduces the</t>
  </si>
  <si>
    <t xml:space="preserve">receipt with live formulas; the Data sheet holds every underlying figure with its source. Change the</t>
  </si>
  <si>
    <t xml:space="preserve">assessed value in the highlighted cell on the Receipt sheet and every figure recalculates.</t>
  </si>
  <si>
    <t xml:space="preserve">Method, in brief</t>
  </si>
  <si>
    <t xml:space="preserve">The receipt follows a net-local-cost approach modeled on the National Priorities Project federal receipt.</t>
  </si>
  <si>
    <t xml:space="preserve">Each function’s net local cost is its gross expense less program revenue and restricted aid — the part</t>
  </si>
  <si>
    <t xml:space="preserve">carried by local revenue. A household’s local taxes (property tax plus motor vehicle excise) are then</t>
  </si>
  <si>
    <t xml:space="preserve">distributed across functions in proportion to each function’s share of net local cost. Charter tuition is</t>
  </si>
  <si>
    <t xml:space="preserve">separated from education, with the state charter reimbursement attributed to it as an offset. The full</t>
  </si>
  <si>
    <t xml:space="preserve">methodology is in methodology.md, in the same repository.</t>
  </si>
  <si>
    <t xml:space="preserve">Sources</t>
  </si>
  <si>
    <t xml:space="preserve">• New Bedford FY2025 Annual Comprehensive Financial Report (ACFR) — audited by Hague, Sahady &amp; Co., CPAs</t>
  </si>
  <si>
    <t xml:space="preserve">• Massachusetts DESE FY2025 charter school tuition reconciliation</t>
  </si>
  <si>
    <t xml:space="preserve">• New Bedford FY2025 Adopted Budget</t>
  </si>
  <si>
    <t xml:space="preserve">• New Bedford FY2025 Tax Rate Recapitulation</t>
  </si>
  <si>
    <t xml:space="preserve">• Massachusetts Department of Revenue — FY2025 tax classification hearing</t>
  </si>
  <si>
    <t xml:space="preserve">• U.S. Census Bureau, 2020–2024 American Community Survey 5-year estimate</t>
  </si>
  <si>
    <t xml:space="preserve">Notes on presentation</t>
  </si>
  <si>
    <t xml:space="preserve">Function shares are shown here to one decimal; the published receipt rounds them to whole percents.</t>
  </si>
  <si>
    <t xml:space="preserve">All financial figures are audited or reconciled FY2025 actuals.</t>
  </si>
  <si>
    <t xml:space="preserve">An independent taxpayer receipt prepared by Mike Goodman, with analytical and development support</t>
  </si>
  <si>
    <t xml:space="preserve">from Claude (Anthropic). Published at Notes on the Commonwealth: https://commonwealthnotes.substack.com</t>
  </si>
  <si>
    <t xml:space="preserve">Not a publication of the City of New Bedford, and not reviewed or endorsed by the City.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</si>
</sst>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\$#,##0.00"/>
    <numFmt numFmtId="167" formatCode="0.0%"/>
    <numFmt numFmtId="168" formatCode="0.00%"/>
    <numFmt numFmtId="169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2A38"/>
      <name val="Arial"/>
      <family val="0"/>
      <charset val="1"/>
    </font>
    <font>
      <i val="true"/>
      <sz val="10"/>
      <color rgb="FF5A5448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5A5448"/>
      <name val="Arial"/>
      <family val="0"/>
      <charset val="1"/>
    </font>
    <font>
      <b val="true"/>
      <sz val="11"/>
      <color rgb="FF1A2A3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A8"/>
        <bgColor rgb="FFEDEAE0"/>
      </patternFill>
    </fill>
    <fill>
      <patternFill patternType="solid">
        <fgColor rgb="FFEDEAE0"/>
        <bgColor rgb="FFFFFFFF"/>
      </patternFill>
    </fill>
    <fill>
      <patternFill patternType="solid">
        <fgColor rgb="FF3A4A5C"/>
        <bgColor rgb="FF5A544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9A8"/>
      </left>
      <right style="thin">
        <color rgb="FFBFB9A8"/>
      </right>
      <top style="thin">
        <color rgb="FFBFB9A8"/>
      </top>
      <bottom style="thin">
        <color rgb="FFBFB9A8"/>
      </bottom>
      <diagonal/>
    </border>
    <border diagonalUp="false" diagonalDown="false">
      <left/>
      <right/>
      <top style="medium">
        <color rgb="FF3A4A5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9A8"/>
      <rgbColor rgb="FF808080"/>
      <rgbColor rgb="FF9999FF"/>
      <rgbColor rgb="FF993366"/>
      <rgbColor rgb="FFEDEA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448"/>
      <rgbColor rgb="FF969696"/>
      <rgbColor rgb="FF003366"/>
      <rgbColor rgb="FF339966"/>
      <rgbColor rgb="FF003300"/>
      <rgbColor rgb="FF333300"/>
      <rgbColor rgb="FF993300"/>
      <rgbColor rgb="FF993366"/>
      <rgbColor rgb="FF3A4A5C"/>
      <rgbColor rgb="FF1A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4" t="n">
        <v>393323</v>
      </c>
      <c r="C4" s="5" t="s">
        <v>3</v>
      </c>
      <c r="D4" s="5"/>
    </row>
    <row r="6" customFormat="false" ht="15" hidden="false" customHeight="false" outlineLevel="0" collapsed="false">
      <c r="A6" s="6" t="s">
        <v>4</v>
      </c>
      <c r="B6" s="7" t="n">
        <f aca="false">B7+B8</f>
        <v>4681.21739226018</v>
      </c>
    </row>
    <row r="7" customFormat="false" ht="15" hidden="false" customHeight="false" outlineLevel="0" collapsed="false">
      <c r="A7" s="8" t="s">
        <v>5</v>
      </c>
      <c r="B7" s="9" t="n">
        <f aca="false">B4*Data!B18/1000</f>
        <v>4448.48313</v>
      </c>
      <c r="C7" s="5" t="s">
        <v>6</v>
      </c>
      <c r="D7" s="5"/>
    </row>
    <row r="8" customFormat="false" ht="15" hidden="false" customHeight="false" outlineLevel="0" collapsed="false">
      <c r="A8" s="8" t="s">
        <v>7</v>
      </c>
      <c r="B8" s="9" t="n">
        <f aca="false">Data!B16</f>
        <v>232.734262260178</v>
      </c>
      <c r="C8" s="5" t="s">
        <v>8</v>
      </c>
      <c r="D8" s="5"/>
    </row>
    <row r="10" customFormat="false" ht="15" hidden="false" customHeight="false" outlineLevel="0" collapsed="false">
      <c r="A10" s="6" t="s">
        <v>9</v>
      </c>
      <c r="B10" s="10"/>
      <c r="C10" s="10"/>
      <c r="D10" s="10"/>
    </row>
    <row r="11" customFormat="false" ht="15" hidden="false" customHeight="false" outlineLevel="0" collapsed="false">
      <c r="A11" s="5" t="s">
        <v>10</v>
      </c>
      <c r="B11" s="5"/>
      <c r="C11" s="5"/>
      <c r="D11" s="5"/>
    </row>
    <row r="12" customFormat="false" ht="15" hidden="false" customHeight="false" outlineLevel="0" collapsed="false">
      <c r="A12" s="11" t="s">
        <v>11</v>
      </c>
      <c r="B12" s="12" t="s">
        <v>12</v>
      </c>
      <c r="C12" s="12" t="s">
        <v>13</v>
      </c>
    </row>
    <row r="13" customFormat="false" ht="15" hidden="false" customHeight="false" outlineLevel="0" collapsed="false">
      <c r="A13" s="8" t="s">
        <v>14</v>
      </c>
      <c r="B13" s="13" t="n">
        <f aca="false">Data!B23</f>
        <v>516934715</v>
      </c>
      <c r="C13" s="14" t="n">
        <f aca="false">B13/$B$14</f>
        <v>4.6600907126843</v>
      </c>
    </row>
    <row r="14" customFormat="false" ht="15" hidden="false" customHeight="false" outlineLevel="0" collapsed="false">
      <c r="A14" s="8" t="s">
        <v>15</v>
      </c>
      <c r="B14" s="13" t="n">
        <f aca="false">Data!B24</f>
        <v>110928037</v>
      </c>
      <c r="C14" s="14" t="n">
        <f aca="false">B14/$B$14</f>
        <v>1</v>
      </c>
    </row>
    <row r="15" customFormat="false" ht="15" hidden="false" customHeight="false" outlineLevel="0" collapsed="false">
      <c r="A15" s="8" t="s">
        <v>16</v>
      </c>
      <c r="B15" s="13" t="n">
        <f aca="false">Data!B25</f>
        <v>44151002</v>
      </c>
      <c r="C15" s="14" t="n">
        <f aca="false">B15/$B$14</f>
        <v>0.398014813874332</v>
      </c>
    </row>
    <row r="16" customFormat="false" ht="15" hidden="false" customHeight="false" outlineLevel="0" collapsed="false">
      <c r="A16" s="8" t="s">
        <v>17</v>
      </c>
      <c r="B16" s="13" t="n">
        <f aca="false">Data!B26</f>
        <v>22033642</v>
      </c>
      <c r="C16" s="14" t="n">
        <f aca="false">B16/$B$14</f>
        <v>0.19863005418549</v>
      </c>
    </row>
    <row r="17" customFormat="false" ht="15" hidden="false" customHeight="false" outlineLevel="0" collapsed="false">
      <c r="A17" s="8" t="s">
        <v>18</v>
      </c>
      <c r="B17" s="13" t="n">
        <f aca="false">Data!B27</f>
        <v>20066710</v>
      </c>
      <c r="C17" s="14" t="n">
        <f aca="false">B17/$B$14</f>
        <v>0.180898450407087</v>
      </c>
    </row>
    <row r="18" customFormat="false" ht="15" hidden="false" customHeight="false" outlineLevel="0" collapsed="false">
      <c r="A18" s="8" t="s">
        <v>19</v>
      </c>
      <c r="B18" s="13" t="n">
        <f aca="false">Data!B28</f>
        <v>9837910</v>
      </c>
      <c r="C18" s="14" t="n">
        <f aca="false">B18/$B$14</f>
        <v>0.0886873171658126</v>
      </c>
    </row>
    <row r="19" customFormat="false" ht="15" hidden="false" customHeight="false" outlineLevel="0" collapsed="false">
      <c r="A19" s="8" t="s">
        <v>20</v>
      </c>
      <c r="B19" s="13" t="n">
        <f aca="false">Data!B29</f>
        <v>7983185</v>
      </c>
      <c r="C19" s="14" t="n">
        <f aca="false">B19/$B$14</f>
        <v>0.0719672430514569</v>
      </c>
    </row>
    <row r="20" customFormat="false" ht="15" hidden="false" customHeight="false" outlineLevel="0" collapsed="false">
      <c r="A20" s="15" t="s">
        <v>21</v>
      </c>
      <c r="B20" s="16" t="n">
        <f aca="false">SUM(B13:B19)</f>
        <v>731935201</v>
      </c>
      <c r="C20" s="17" t="n">
        <f aca="false">B20/$B$14</f>
        <v>6.59828859136847</v>
      </c>
    </row>
    <row r="22" customFormat="false" ht="15" hidden="false" customHeight="false" outlineLevel="0" collapsed="false">
      <c r="A22" s="6" t="s">
        <v>22</v>
      </c>
      <c r="B22" s="10"/>
      <c r="C22" s="10"/>
      <c r="D22" s="10"/>
    </row>
    <row r="23" customFormat="false" ht="15" hidden="false" customHeight="false" outlineLevel="0" collapsed="false">
      <c r="A23" s="5" t="s">
        <v>23</v>
      </c>
      <c r="B23" s="5"/>
      <c r="C23" s="5"/>
      <c r="D23" s="5"/>
    </row>
    <row r="24" customFormat="false" ht="15" hidden="false" customHeight="false" outlineLevel="0" collapsed="false">
      <c r="A24" s="11" t="s">
        <v>24</v>
      </c>
      <c r="B24" s="12" t="s">
        <v>25</v>
      </c>
      <c r="C24" s="12" t="s">
        <v>26</v>
      </c>
      <c r="D24" s="12" t="s">
        <v>27</v>
      </c>
    </row>
    <row r="25" customFormat="false" ht="15" hidden="false" customHeight="false" outlineLevel="0" collapsed="false">
      <c r="A25" s="8" t="s">
        <v>28</v>
      </c>
      <c r="B25" s="18" t="n">
        <f aca="false">Data!B34/Data!$B$9</f>
        <v>0.275390726007722</v>
      </c>
      <c r="C25" s="18" t="n">
        <f aca="false">Data!C34</f>
        <v>0.299</v>
      </c>
      <c r="D25" s="14" t="n">
        <f aca="false">$B$6*B25</f>
        <v>1289.16385625451</v>
      </c>
    </row>
    <row r="26" customFormat="false" ht="15" hidden="false" customHeight="false" outlineLevel="0" collapsed="false">
      <c r="A26" s="8" t="s">
        <v>29</v>
      </c>
      <c r="B26" s="18" t="n">
        <f aca="false">Data!B35/Data!$B$9</f>
        <v>0.244323419587311</v>
      </c>
      <c r="C26" s="18" t="n">
        <f aca="false">Data!C35</f>
        <v>0.878</v>
      </c>
      <c r="D26" s="14" t="n">
        <f aca="false">$B$6*B26</f>
        <v>1143.7310411086</v>
      </c>
    </row>
    <row r="27" customFormat="false" ht="15" hidden="false" customHeight="false" outlineLevel="0" collapsed="false">
      <c r="A27" s="8" t="s">
        <v>30</v>
      </c>
      <c r="B27" s="18" t="n">
        <f aca="false">Data!B36/Data!$B$9</f>
        <v>0.200119525297248</v>
      </c>
      <c r="C27" s="18" t="n">
        <f aca="false">Data!C36</f>
        <v>0.191</v>
      </c>
      <c r="D27" s="14" t="n">
        <f aca="false">$B$6*B27</f>
        <v>936.803002352326</v>
      </c>
    </row>
    <row r="28" customFormat="false" ht="15" hidden="false" customHeight="false" outlineLevel="0" collapsed="false">
      <c r="A28" s="8" t="s">
        <v>31</v>
      </c>
      <c r="B28" s="18" t="n">
        <f aca="false">Data!B37/Data!$B$9</f>
        <v>0.114908897422139</v>
      </c>
      <c r="C28" s="18" t="n">
        <f aca="false">Data!C37</f>
        <v>0.205</v>
      </c>
      <c r="D28" s="14" t="n">
        <f aca="false">$B$6*B28</f>
        <v>537.913529137958</v>
      </c>
    </row>
    <row r="29" customFormat="false" ht="15" hidden="false" customHeight="false" outlineLevel="0" collapsed="false">
      <c r="A29" s="8" t="s">
        <v>32</v>
      </c>
      <c r="B29" s="18" t="n">
        <f aca="false">Data!B38/Data!$B$9</f>
        <v>0.0821173942151629</v>
      </c>
      <c r="C29" s="18" t="n">
        <f aca="false">Data!C38</f>
        <v>0.828</v>
      </c>
      <c r="D29" s="14" t="n">
        <f aca="false">$B$6*B29</f>
        <v>384.409374007106</v>
      </c>
    </row>
    <row r="30" customFormat="false" ht="15" hidden="false" customHeight="false" outlineLevel="0" collapsed="false">
      <c r="A30" s="8" t="s">
        <v>33</v>
      </c>
      <c r="B30" s="18" t="n">
        <f aca="false">Data!B39/Data!$B$9</f>
        <v>0.0373380508921483</v>
      </c>
      <c r="C30" s="18" t="n">
        <f aca="false">Data!C39</f>
        <v>0</v>
      </c>
      <c r="D30" s="14" t="n">
        <f aca="false">$B$6*B30</f>
        <v>174.78753322942</v>
      </c>
    </row>
    <row r="31" customFormat="false" ht="15" hidden="false" customHeight="false" outlineLevel="0" collapsed="false">
      <c r="A31" s="8" t="s">
        <v>34</v>
      </c>
      <c r="B31" s="18" t="n">
        <f aca="false">Data!B40/Data!$B$9</f>
        <v>0.0307643811765982</v>
      </c>
      <c r="C31" s="18" t="n">
        <f aca="false">Data!C40</f>
        <v>0.257</v>
      </c>
      <c r="D31" s="14" t="n">
        <f aca="false">$B$6*B31</f>
        <v>144.014756226013</v>
      </c>
    </row>
    <row r="32" customFormat="false" ht="15" hidden="false" customHeight="false" outlineLevel="0" collapsed="false">
      <c r="A32" s="8" t="s">
        <v>35</v>
      </c>
      <c r="B32" s="18" t="n">
        <f aca="false">Data!B41/Data!$B$9</f>
        <v>0.0150376054016712</v>
      </c>
      <c r="C32" s="18" t="n">
        <f aca="false">Data!C41</f>
        <v>0.705</v>
      </c>
      <c r="D32" s="14" t="n">
        <f aca="false">$B$6*B32</f>
        <v>70.394299944249</v>
      </c>
    </row>
    <row r="33" customFormat="false" ht="15" hidden="false" customHeight="false" outlineLevel="0" collapsed="false">
      <c r="A33" s="8" t="s">
        <v>36</v>
      </c>
      <c r="B33" s="19" t="s">
        <v>37</v>
      </c>
      <c r="C33" s="18" t="n">
        <f aca="false">Data!C42</f>
        <v>1</v>
      </c>
      <c r="D33" s="14" t="n">
        <v>0</v>
      </c>
    </row>
    <row r="34" customFormat="false" ht="15" hidden="false" customHeight="false" outlineLevel="0" collapsed="false">
      <c r="A34" s="15" t="s">
        <v>38</v>
      </c>
      <c r="B34" s="20"/>
      <c r="C34" s="20"/>
      <c r="D34" s="17" t="n">
        <f aca="false">SUM(D25:D33)</f>
        <v>4681.21739226018</v>
      </c>
    </row>
    <row r="36" customFormat="false" ht="15" hidden="false" customHeight="false" outlineLevel="0" collapsed="false">
      <c r="A36" s="5" t="s">
        <v>39</v>
      </c>
      <c r="B36" s="5"/>
      <c r="C36" s="5"/>
      <c r="D36" s="5"/>
    </row>
    <row r="37" customFormat="false" ht="15" hidden="false" customHeight="false" outlineLevel="0" collapsed="false">
      <c r="A37" s="5" t="s">
        <v>40</v>
      </c>
      <c r="B37" s="5"/>
      <c r="C37" s="5"/>
      <c r="D37" s="5"/>
    </row>
  </sheetData>
  <mergeCells count="9">
    <mergeCell ref="A1:D1"/>
    <mergeCell ref="A2:D2"/>
    <mergeCell ref="C4:D4"/>
    <mergeCell ref="C7:D7"/>
    <mergeCell ref="C8:D8"/>
    <mergeCell ref="A11:D11"/>
    <mergeCell ref="A23:D23"/>
    <mergeCell ref="A36:D36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1" t="s">
        <v>41</v>
      </c>
      <c r="B1" s="1"/>
      <c r="C1" s="1"/>
      <c r="D1" s="1"/>
    </row>
    <row r="2" customFormat="false" ht="15" hidden="false" customHeight="false" outlineLevel="0" collapsed="false">
      <c r="A2" s="2" t="s">
        <v>42</v>
      </c>
      <c r="B2" s="2"/>
      <c r="C2" s="2"/>
      <c r="D2" s="2"/>
    </row>
    <row r="4" customFormat="false" ht="15" hidden="false" customHeight="false" outlineLevel="0" collapsed="false">
      <c r="A4" s="6" t="s">
        <v>43</v>
      </c>
      <c r="B4" s="10"/>
      <c r="C4" s="10"/>
      <c r="D4" s="10"/>
    </row>
    <row r="5" customFormat="false" ht="15" hidden="false" customHeight="false" outlineLevel="0" collapsed="false">
      <c r="A5" s="11" t="s">
        <v>44</v>
      </c>
      <c r="B5" s="11" t="s">
        <v>45</v>
      </c>
      <c r="C5" s="11" t="s">
        <v>46</v>
      </c>
      <c r="D5" s="11" t="s">
        <v>47</v>
      </c>
    </row>
    <row r="6" customFormat="false" ht="15" hidden="false" customHeight="false" outlineLevel="0" collapsed="false">
      <c r="A6" s="8" t="s">
        <v>48</v>
      </c>
      <c r="B6" s="21" t="n">
        <v>729655324</v>
      </c>
      <c r="C6" s="22" t="s">
        <v>49</v>
      </c>
      <c r="D6" s="23" t="s">
        <v>50</v>
      </c>
    </row>
    <row r="7" customFormat="false" ht="22.35" hidden="false" customHeight="false" outlineLevel="0" collapsed="false">
      <c r="A7" s="8" t="s">
        <v>51</v>
      </c>
      <c r="B7" s="21" t="n">
        <v>731935201</v>
      </c>
      <c r="C7" s="22" t="s">
        <v>49</v>
      </c>
      <c r="D7" s="23" t="s">
        <v>52</v>
      </c>
    </row>
    <row r="8" customFormat="false" ht="15" hidden="false" customHeight="false" outlineLevel="0" collapsed="false">
      <c r="A8" s="8" t="s">
        <v>53</v>
      </c>
      <c r="B8" s="24" t="n">
        <f aca="false">B43</f>
        <v>211903120</v>
      </c>
      <c r="C8" s="22" t="s">
        <v>49</v>
      </c>
      <c r="D8" s="23" t="s">
        <v>54</v>
      </c>
    </row>
    <row r="9" customFormat="false" ht="15" hidden="false" customHeight="false" outlineLevel="0" collapsed="false">
      <c r="A9" s="8" t="s">
        <v>55</v>
      </c>
      <c r="B9" s="24" t="n">
        <f aca="false">B44</f>
        <v>212062221</v>
      </c>
      <c r="C9" s="22" t="s">
        <v>49</v>
      </c>
      <c r="D9" s="23" t="s">
        <v>56</v>
      </c>
    </row>
    <row r="10" customFormat="false" ht="15" hidden="false" customHeight="false" outlineLevel="0" collapsed="false">
      <c r="A10" s="8" t="s">
        <v>57</v>
      </c>
      <c r="B10" s="21" t="n">
        <v>155079039</v>
      </c>
      <c r="C10" s="22" t="s">
        <v>49</v>
      </c>
      <c r="D10" s="23" t="s">
        <v>50</v>
      </c>
    </row>
    <row r="11" customFormat="false" ht="32.8" hidden="false" customHeight="false" outlineLevel="0" collapsed="false">
      <c r="A11" s="8" t="s">
        <v>58</v>
      </c>
      <c r="B11" s="25" t="n">
        <v>0.7153</v>
      </c>
      <c r="C11" s="22" t="s">
        <v>59</v>
      </c>
      <c r="D11" s="23" t="s">
        <v>60</v>
      </c>
    </row>
    <row r="12" customFormat="false" ht="15" hidden="false" customHeight="false" outlineLevel="0" collapsed="false">
      <c r="A12" s="8" t="s">
        <v>15</v>
      </c>
      <c r="B12" s="24" t="n">
        <f aca="false">ROUND(B10*B11,0)</f>
        <v>110928037</v>
      </c>
      <c r="C12" s="22" t="s">
        <v>49</v>
      </c>
      <c r="D12" s="23" t="s">
        <v>61</v>
      </c>
    </row>
    <row r="13" customFormat="false" ht="15" hidden="false" customHeight="false" outlineLevel="0" collapsed="false">
      <c r="A13" s="8" t="s">
        <v>16</v>
      </c>
      <c r="B13" s="24" t="n">
        <f aca="false">B10-B12</f>
        <v>44151002</v>
      </c>
      <c r="C13" s="22" t="s">
        <v>49</v>
      </c>
      <c r="D13" s="23" t="s">
        <v>62</v>
      </c>
    </row>
    <row r="14" customFormat="false" ht="22.35" hidden="false" customHeight="false" outlineLevel="0" collapsed="false">
      <c r="A14" s="8" t="s">
        <v>63</v>
      </c>
      <c r="B14" s="21" t="n">
        <v>9837910</v>
      </c>
      <c r="C14" s="22" t="s">
        <v>49</v>
      </c>
      <c r="D14" s="23" t="s">
        <v>64</v>
      </c>
    </row>
    <row r="15" customFormat="false" ht="15" hidden="false" customHeight="false" outlineLevel="0" collapsed="false">
      <c r="A15" s="8" t="s">
        <v>65</v>
      </c>
      <c r="B15" s="26" t="n">
        <v>42271</v>
      </c>
      <c r="C15" s="22" t="s">
        <v>66</v>
      </c>
      <c r="D15" s="23" t="s">
        <v>67</v>
      </c>
    </row>
    <row r="16" customFormat="false" ht="15" hidden="false" customHeight="false" outlineLevel="0" collapsed="false">
      <c r="A16" s="8" t="s">
        <v>68</v>
      </c>
      <c r="B16" s="24" t="n">
        <f aca="false">B14/B15</f>
        <v>232.734262260178</v>
      </c>
      <c r="C16" s="22" t="s">
        <v>49</v>
      </c>
      <c r="D16" s="23" t="s">
        <v>69</v>
      </c>
    </row>
    <row r="17" customFormat="false" ht="22.35" hidden="false" customHeight="false" outlineLevel="0" collapsed="false">
      <c r="A17" s="8" t="s">
        <v>70</v>
      </c>
      <c r="B17" s="21" t="n">
        <v>393323</v>
      </c>
      <c r="C17" s="22" t="s">
        <v>49</v>
      </c>
      <c r="D17" s="23" t="s">
        <v>71</v>
      </c>
    </row>
    <row r="18" customFormat="false" ht="15" hidden="false" customHeight="false" outlineLevel="0" collapsed="false">
      <c r="A18" s="8" t="s">
        <v>72</v>
      </c>
      <c r="B18" s="27" t="n">
        <v>11.31</v>
      </c>
      <c r="C18" s="22" t="s">
        <v>73</v>
      </c>
      <c r="D18" s="23" t="s">
        <v>74</v>
      </c>
    </row>
    <row r="19" customFormat="false" ht="15" hidden="false" customHeight="false" outlineLevel="0" collapsed="false">
      <c r="A19" s="8" t="s">
        <v>75</v>
      </c>
      <c r="B19" s="14" t="n">
        <f aca="false">B17*B18/1000</f>
        <v>4448.48313</v>
      </c>
      <c r="C19" s="22" t="s">
        <v>49</v>
      </c>
      <c r="D19" s="23" t="s">
        <v>76</v>
      </c>
    </row>
    <row r="21" customFormat="false" ht="15" hidden="false" customHeight="false" outlineLevel="0" collapsed="false">
      <c r="A21" s="6" t="s">
        <v>77</v>
      </c>
      <c r="B21" s="10"/>
      <c r="C21" s="10"/>
      <c r="D21" s="10"/>
    </row>
    <row r="22" customFormat="false" ht="15" hidden="false" customHeight="false" outlineLevel="0" collapsed="false">
      <c r="A22" s="11" t="s">
        <v>11</v>
      </c>
      <c r="B22" s="11" t="s">
        <v>12</v>
      </c>
      <c r="C22" s="11"/>
      <c r="D22" s="11" t="s">
        <v>47</v>
      </c>
    </row>
    <row r="23" customFormat="false" ht="15" hidden="false" customHeight="false" outlineLevel="0" collapsed="false">
      <c r="A23" s="8" t="s">
        <v>14</v>
      </c>
      <c r="B23" s="21" t="n">
        <v>516934715</v>
      </c>
      <c r="D23" s="23" t="s">
        <v>78</v>
      </c>
    </row>
    <row r="24" customFormat="false" ht="15" hidden="false" customHeight="false" outlineLevel="0" collapsed="false">
      <c r="A24" s="8" t="s">
        <v>15</v>
      </c>
      <c r="B24" s="24" t="n">
        <f aca="false">B12</f>
        <v>110928037</v>
      </c>
      <c r="D24" s="23" t="s">
        <v>79</v>
      </c>
    </row>
    <row r="25" customFormat="false" ht="15" hidden="false" customHeight="false" outlineLevel="0" collapsed="false">
      <c r="A25" s="8" t="s">
        <v>16</v>
      </c>
      <c r="B25" s="24" t="n">
        <f aca="false">B13</f>
        <v>44151002</v>
      </c>
      <c r="D25" s="23" t="s">
        <v>80</v>
      </c>
    </row>
    <row r="26" customFormat="false" ht="15" hidden="false" customHeight="false" outlineLevel="0" collapsed="false">
      <c r="A26" s="8" t="s">
        <v>17</v>
      </c>
      <c r="B26" s="21" t="n">
        <v>22033642</v>
      </c>
      <c r="D26" s="23" t="s">
        <v>81</v>
      </c>
    </row>
    <row r="27" customFormat="false" ht="15" hidden="false" customHeight="false" outlineLevel="0" collapsed="false">
      <c r="A27" s="8" t="s">
        <v>18</v>
      </c>
      <c r="B27" s="21" t="n">
        <v>20066710</v>
      </c>
      <c r="D27" s="23" t="s">
        <v>82</v>
      </c>
    </row>
    <row r="28" customFormat="false" ht="15" hidden="false" customHeight="false" outlineLevel="0" collapsed="false">
      <c r="A28" s="8" t="s">
        <v>19</v>
      </c>
      <c r="B28" s="24" t="n">
        <f aca="false">B14</f>
        <v>9837910</v>
      </c>
      <c r="D28" s="23" t="s">
        <v>83</v>
      </c>
    </row>
    <row r="29" customFormat="false" ht="15" hidden="false" customHeight="false" outlineLevel="0" collapsed="false">
      <c r="A29" s="8" t="s">
        <v>20</v>
      </c>
      <c r="B29" s="21" t="n">
        <v>7983185</v>
      </c>
      <c r="D29" s="23" t="s">
        <v>84</v>
      </c>
    </row>
    <row r="30" customFormat="false" ht="15" hidden="false" customHeight="false" outlineLevel="0" collapsed="false">
      <c r="A30" s="15" t="s">
        <v>85</v>
      </c>
      <c r="B30" s="16" t="n">
        <f aca="false">SUM(B23:B29)</f>
        <v>731935201</v>
      </c>
      <c r="C30" s="20"/>
      <c r="D30" s="28" t="s">
        <v>86</v>
      </c>
    </row>
    <row r="32" customFormat="false" ht="15" hidden="false" customHeight="false" outlineLevel="0" collapsed="false">
      <c r="A32" s="6" t="s">
        <v>87</v>
      </c>
      <c r="B32" s="10"/>
      <c r="C32" s="10"/>
      <c r="D32" s="10"/>
    </row>
    <row r="33" customFormat="false" ht="23.85" hidden="false" customHeight="false" outlineLevel="0" collapsed="false">
      <c r="A33" s="11" t="s">
        <v>24</v>
      </c>
      <c r="B33" s="11" t="s">
        <v>88</v>
      </c>
      <c r="C33" s="11" t="s">
        <v>89</v>
      </c>
      <c r="D33" s="11" t="s">
        <v>47</v>
      </c>
    </row>
    <row r="34" customFormat="false" ht="15" hidden="false" customHeight="false" outlineLevel="0" collapsed="false">
      <c r="A34" s="8" t="s">
        <v>28</v>
      </c>
      <c r="B34" s="21" t="n">
        <v>58399969</v>
      </c>
      <c r="C34" s="29" t="n">
        <v>0.299</v>
      </c>
      <c r="D34" s="23" t="s">
        <v>90</v>
      </c>
    </row>
    <row r="35" customFormat="false" ht="15" hidden="false" customHeight="false" outlineLevel="0" collapsed="false">
      <c r="A35" s="8" t="s">
        <v>29</v>
      </c>
      <c r="B35" s="21" t="n">
        <v>51811767</v>
      </c>
      <c r="C35" s="29" t="n">
        <v>0.878</v>
      </c>
      <c r="D35" s="23" t="s">
        <v>91</v>
      </c>
    </row>
    <row r="36" customFormat="false" ht="15" hidden="false" customHeight="false" outlineLevel="0" collapsed="false">
      <c r="A36" s="8" t="s">
        <v>30</v>
      </c>
      <c r="B36" s="21" t="n">
        <v>42437791</v>
      </c>
      <c r="C36" s="29" t="n">
        <v>0.191</v>
      </c>
      <c r="D36" s="23" t="s">
        <v>91</v>
      </c>
    </row>
    <row r="37" customFormat="false" ht="22.35" hidden="false" customHeight="false" outlineLevel="0" collapsed="false">
      <c r="A37" s="8" t="s">
        <v>31</v>
      </c>
      <c r="B37" s="21" t="n">
        <v>24367836</v>
      </c>
      <c r="C37" s="29" t="n">
        <v>0.205</v>
      </c>
      <c r="D37" s="23" t="s">
        <v>92</v>
      </c>
    </row>
    <row r="38" customFormat="false" ht="15" hidden="false" customHeight="false" outlineLevel="0" collapsed="false">
      <c r="A38" s="8" t="s">
        <v>32</v>
      </c>
      <c r="B38" s="21" t="n">
        <v>17413997</v>
      </c>
      <c r="C38" s="29" t="n">
        <v>0.828</v>
      </c>
      <c r="D38" s="23" t="s">
        <v>91</v>
      </c>
    </row>
    <row r="39" customFormat="false" ht="15" hidden="false" customHeight="false" outlineLevel="0" collapsed="false">
      <c r="A39" s="8" t="s">
        <v>33</v>
      </c>
      <c r="B39" s="21" t="n">
        <v>7917990</v>
      </c>
      <c r="C39" s="29" t="n">
        <v>0</v>
      </c>
      <c r="D39" s="23" t="s">
        <v>91</v>
      </c>
    </row>
    <row r="40" customFormat="false" ht="15" hidden="false" customHeight="false" outlineLevel="0" collapsed="false">
      <c r="A40" s="8" t="s">
        <v>34</v>
      </c>
      <c r="B40" s="21" t="n">
        <v>6523963</v>
      </c>
      <c r="C40" s="29" t="n">
        <v>0.257</v>
      </c>
      <c r="D40" s="23" t="s">
        <v>91</v>
      </c>
    </row>
    <row r="41" customFormat="false" ht="15" hidden="false" customHeight="false" outlineLevel="0" collapsed="false">
      <c r="A41" s="8" t="s">
        <v>35</v>
      </c>
      <c r="B41" s="21" t="n">
        <v>3188908</v>
      </c>
      <c r="C41" s="29" t="n">
        <v>0.705</v>
      </c>
      <c r="D41" s="23" t="s">
        <v>91</v>
      </c>
    </row>
    <row r="42" customFormat="false" ht="22.35" hidden="false" customHeight="false" outlineLevel="0" collapsed="false">
      <c r="A42" s="8" t="s">
        <v>36</v>
      </c>
      <c r="B42" s="21" t="n">
        <v>-159101</v>
      </c>
      <c r="C42" s="29" t="n">
        <v>1</v>
      </c>
      <c r="D42" s="23" t="s">
        <v>93</v>
      </c>
    </row>
    <row r="43" customFormat="false" ht="15" hidden="false" customHeight="false" outlineLevel="0" collapsed="false">
      <c r="A43" s="15" t="s">
        <v>94</v>
      </c>
      <c r="B43" s="16" t="n">
        <f aca="false">SUM(B34:B42)</f>
        <v>211903120</v>
      </c>
      <c r="C43" s="20"/>
      <c r="D43" s="28" t="s">
        <v>95</v>
      </c>
    </row>
    <row r="44" customFormat="false" ht="15" hidden="false" customHeight="false" outlineLevel="0" collapsed="false">
      <c r="A44" s="30" t="s">
        <v>96</v>
      </c>
      <c r="B44" s="31" t="n">
        <f aca="false">SUM(B34:B41)</f>
        <v>212062221</v>
      </c>
      <c r="C44" s="32"/>
      <c r="D44" s="5" t="s">
        <v>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33" t="s">
        <v>98</v>
      </c>
    </row>
    <row r="3" customFormat="false" ht="15" hidden="false" customHeight="false" outlineLevel="0" collapsed="false">
      <c r="A3" s="34" t="s">
        <v>99</v>
      </c>
    </row>
    <row r="4" customFormat="false" ht="15" hidden="false" customHeight="false" outlineLevel="0" collapsed="false">
      <c r="A4" s="8" t="s">
        <v>100</v>
      </c>
    </row>
    <row r="5" customFormat="false" ht="15" hidden="false" customHeight="false" outlineLevel="0" collapsed="false">
      <c r="A5" s="8" t="s">
        <v>101</v>
      </c>
    </row>
    <row r="6" customFormat="false" ht="15" hidden="false" customHeight="false" outlineLevel="0" collapsed="false">
      <c r="A6" s="8" t="s">
        <v>102</v>
      </c>
    </row>
    <row r="8" customFormat="false" ht="15" hidden="false" customHeight="false" outlineLevel="0" collapsed="false">
      <c r="A8" s="34" t="s">
        <v>103</v>
      </c>
    </row>
    <row r="9" customFormat="false" ht="15" hidden="false" customHeight="false" outlineLevel="0" collapsed="false">
      <c r="A9" s="8" t="s">
        <v>104</v>
      </c>
    </row>
    <row r="10" customFormat="false" ht="15" hidden="false" customHeight="false" outlineLevel="0" collapsed="false">
      <c r="A10" s="8" t="s">
        <v>105</v>
      </c>
    </row>
    <row r="11" customFormat="false" ht="15" hidden="false" customHeight="false" outlineLevel="0" collapsed="false">
      <c r="A11" s="8" t="s">
        <v>106</v>
      </c>
    </row>
    <row r="12" customFormat="false" ht="15" hidden="false" customHeight="false" outlineLevel="0" collapsed="false">
      <c r="A12" s="8" t="s">
        <v>107</v>
      </c>
    </row>
    <row r="13" customFormat="false" ht="15" hidden="false" customHeight="false" outlineLevel="0" collapsed="false">
      <c r="A13" s="8" t="s">
        <v>108</v>
      </c>
    </row>
    <row r="14" customFormat="false" ht="15" hidden="false" customHeight="false" outlineLevel="0" collapsed="false">
      <c r="A14" s="8" t="s">
        <v>109</v>
      </c>
    </row>
    <row r="16" customFormat="false" ht="15" hidden="false" customHeight="false" outlineLevel="0" collapsed="false">
      <c r="A16" s="34" t="s">
        <v>110</v>
      </c>
    </row>
    <row r="17" customFormat="false" ht="15" hidden="false" customHeight="false" outlineLevel="0" collapsed="false">
      <c r="A17" s="8" t="s">
        <v>111</v>
      </c>
    </row>
    <row r="18" customFormat="false" ht="15" hidden="false" customHeight="false" outlineLevel="0" collapsed="false">
      <c r="A18" s="8" t="s">
        <v>112</v>
      </c>
    </row>
    <row r="19" customFormat="false" ht="15" hidden="false" customHeight="false" outlineLevel="0" collapsed="false">
      <c r="A19" s="8" t="s">
        <v>113</v>
      </c>
    </row>
    <row r="20" customFormat="false" ht="15" hidden="false" customHeight="false" outlineLevel="0" collapsed="false">
      <c r="A20" s="8" t="s">
        <v>114</v>
      </c>
    </row>
    <row r="21" customFormat="false" ht="15" hidden="false" customHeight="false" outlineLevel="0" collapsed="false">
      <c r="A21" s="8" t="s">
        <v>115</v>
      </c>
    </row>
    <row r="22" customFormat="false" ht="15" hidden="false" customHeight="false" outlineLevel="0" collapsed="false">
      <c r="A22" s="8" t="s">
        <v>116</v>
      </c>
    </row>
    <row r="24" customFormat="false" ht="15" hidden="false" customHeight="false" outlineLevel="0" collapsed="false">
      <c r="A24" s="34" t="s">
        <v>117</v>
      </c>
    </row>
    <row r="25" customFormat="false" ht="15" hidden="false" customHeight="false" outlineLevel="0" collapsed="false">
      <c r="A25" s="8" t="s">
        <v>118</v>
      </c>
    </row>
    <row r="26" customFormat="false" ht="15" hidden="false" customHeight="false" outlineLevel="0" collapsed="false">
      <c r="A26" s="8" t="s">
        <v>119</v>
      </c>
    </row>
    <row r="28" customFormat="false" ht="15" hidden="false" customHeight="false" outlineLevel="0" collapsed="false">
      <c r="A28" s="8" t="s">
        <v>120</v>
      </c>
    </row>
    <row r="29" customFormat="false" ht="15" hidden="false" customHeight="false" outlineLevel="0" collapsed="false">
      <c r="A29" s="8" t="s">
        <v>121</v>
      </c>
    </row>
    <row r="30" customFormat="false" ht="15" hidden="false" customHeight="false" outlineLevel="0" collapsed="false">
      <c r="A30" s="8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2026-05-17T14:02:19Z</dcterms:created>
  <dc:creator>openpyxl</dc:creator>
  <dc:description/>
  <dc:language>en-US</dc:language>
  <cp:lastModifiedBy/>
  <dcterms:modified xsi:type="dcterms:W3CDTF">2026-05-17T14:02:19Z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