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ichaelgoodman/Desktop/"/>
    </mc:Choice>
  </mc:AlternateContent>
  <xr:revisionPtr revIDLastSave="0" documentId="8_{B98A582E-6213-1E48-AFFD-993624F2AF2E}" xr6:coauthVersionLast="47" xr6:coauthVersionMax="47" xr10:uidLastSave="{00000000-0000-0000-0000-000000000000}"/>
  <bookViews>
    <workbookView xWindow="0" yWindow="660" windowWidth="23580" windowHeight="17240" tabRatio="500" xr2:uid="{00000000-000D-0000-FFFF-FFFF00000000}"/>
  </bookViews>
  <sheets>
    <sheet name="Receipt" sheetId="1" r:id="rId1"/>
    <sheet name="Data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5" i="2" l="1"/>
  <c r="B9" i="2" s="1"/>
  <c r="B44" i="2"/>
  <c r="B8" i="2" s="1"/>
  <c r="B29" i="2"/>
  <c r="B20" i="2"/>
  <c r="B15" i="2"/>
  <c r="B16" i="2" s="1"/>
  <c r="C31" i="1"/>
  <c r="C30" i="1"/>
  <c r="C29" i="1"/>
  <c r="C28" i="1"/>
  <c r="C27" i="1"/>
  <c r="C26" i="1"/>
  <c r="C25" i="1"/>
  <c r="C24" i="1"/>
  <c r="C23" i="1"/>
  <c r="B17" i="1"/>
  <c r="B16" i="1"/>
  <c r="B15" i="1"/>
  <c r="B14" i="1"/>
  <c r="B11" i="1"/>
  <c r="B6" i="1"/>
  <c r="D23" i="1" l="1"/>
  <c r="B25" i="2"/>
  <c r="B17" i="2"/>
  <c r="B26" i="2" s="1"/>
  <c r="B13" i="1" s="1"/>
  <c r="B29" i="1"/>
  <c r="D29" i="1" s="1"/>
  <c r="B26" i="1"/>
  <c r="D26" i="1" s="1"/>
  <c r="B24" i="1"/>
  <c r="D24" i="1" s="1"/>
  <c r="B23" i="1"/>
  <c r="B28" i="1"/>
  <c r="D28" i="1" s="1"/>
  <c r="B30" i="1"/>
  <c r="B27" i="1"/>
  <c r="B25" i="1"/>
  <c r="D27" i="1"/>
  <c r="D30" i="1"/>
  <c r="D25" i="1"/>
  <c r="B31" i="2" l="1"/>
  <c r="B12" i="1"/>
  <c r="D32" i="1"/>
  <c r="C15" i="1" l="1"/>
  <c r="C11" i="1"/>
  <c r="C12" i="1"/>
  <c r="C16" i="1"/>
  <c r="B18" i="1"/>
  <c r="C18" i="1" s="1"/>
  <c r="C17" i="1"/>
  <c r="C14" i="1"/>
  <c r="C13" i="1"/>
</calcChain>
</file>

<file path=xl/sharedStrings.xml><?xml version="1.0" encoding="utf-8"?>
<sst xmlns="http://schemas.openxmlformats.org/spreadsheetml/2006/main" count="162" uniqueCount="119">
  <si>
    <t>New Bedford FY2025 Taxpayer Receipt</t>
  </si>
  <si>
    <t>Where did your property tax go in FY2025?  —  interactive worksheet</t>
  </si>
  <si>
    <t>Your home’s assessed value</t>
  </si>
  <si>
    <t>← type your single-family home’s assessed value here</t>
  </si>
  <si>
    <t>Your estimated annual residential property tax</t>
  </si>
  <si>
    <t>your assessed value × $11.31 per $1,000 — the FY2025 residential rate</t>
  </si>
  <si>
    <t>1 · WHERE THE CITY’S MONEY CAME FROM</t>
  </si>
  <si>
    <t>For every $1 of residential property tax the city collected citywide, this is what it took in from each source.</t>
  </si>
  <si>
    <t>Revenue source</t>
  </si>
  <si>
    <t>FY2025 amount</t>
  </si>
  <si>
    <t>Per $1 residential</t>
  </si>
  <si>
    <t>State &amp; federal grants and charges for service</t>
  </si>
  <si>
    <t>Residential property tax</t>
  </si>
  <si>
    <t>Commercial, industrial &amp; personal property tax</t>
  </si>
  <si>
    <t>Unrestricted state aid</t>
  </si>
  <si>
    <t>Other local revenue</t>
  </si>
  <si>
    <t>Motor vehicle &amp; other excise</t>
  </si>
  <si>
    <t>Net transfers from enterprise funds</t>
  </si>
  <si>
    <t>Total city revenue</t>
  </si>
  <si>
    <t>2 · WHAT YOUR PROPERTY TAX FUNDED</t>
  </si>
  <si>
    <t>Your property tax, distributed across city functions by each function’s share of net local cost.</t>
  </si>
  <si>
    <t>City function</t>
  </si>
  <si>
    <t>Share of total</t>
  </si>
  <si>
    <t>Outside funding</t>
  </si>
  <si>
    <t>Your share</t>
  </si>
  <si>
    <t>Public safety</t>
  </si>
  <si>
    <t>Education — New Bedford Public Schools</t>
  </si>
  <si>
    <t>General government</t>
  </si>
  <si>
    <t>Charter school tuition assessment</t>
  </si>
  <si>
    <t>Public works</t>
  </si>
  <si>
    <t>Interest on long-term debt</t>
  </si>
  <si>
    <t>Culture &amp; recreation</t>
  </si>
  <si>
    <t>Health &amp; human services</t>
  </si>
  <si>
    <t>Community &amp; economic development</t>
  </si>
  <si>
    <t>—</t>
  </si>
  <si>
    <t>Your total property tax</t>
  </si>
  <si>
    <t>Community &amp; economic development is fully grant-funded (CDBG/HUD); it draws nothing from the property tax.</t>
  </si>
  <si>
    <t>Built into every function above: roughly $77M in employee pensions and health insurance — close to a tenth of city spending.</t>
  </si>
  <si>
    <t>New Bedford FY2025 Taxpayer Receipt — Source Data</t>
  </si>
  <si>
    <t>Audited or reconciled FY2025 actuals. Hardcoded inputs in blue; formulas in black.</t>
  </si>
  <si>
    <t>KEY FIGURES</t>
  </si>
  <si>
    <t>Figure</t>
  </si>
  <si>
    <t>Value</t>
  </si>
  <si>
    <t>Unit</t>
  </si>
  <si>
    <t>Source</t>
  </si>
  <si>
    <t>Total governmental spending</t>
  </si>
  <si>
    <t>$</t>
  </si>
  <si>
    <t>New Bedford FY2025 ACFR, Statement of Activities, p. 24</t>
  </si>
  <si>
    <t>Total governmental revenue</t>
  </si>
  <si>
    <t>New Bedford FY2025 ACFR, Statement of Activities, p. 24 — program and general revenue plus net transfers</t>
  </si>
  <si>
    <t>Net local cost — all 9 functions</t>
  </si>
  <si>
    <t>Derived — sum of the functional ledger below</t>
  </si>
  <si>
    <t>Distribution base — 8 functions with positive net cost</t>
  </si>
  <si>
    <t>Derived — functional ledger excluding Community &amp; Economic Development</t>
  </si>
  <si>
    <t>Property tax revenue, net of abatements</t>
  </si>
  <si>
    <t>Residential assessed value</t>
  </si>
  <si>
    <t>New Bedford FY2025 ACFR, assessed-value-by-class table, p. 144</t>
  </si>
  <si>
    <t>Commercial, industrial &amp; personal assessed value</t>
  </si>
  <si>
    <t>Residential tax rate</t>
  </si>
  <si>
    <t>per $1,000</t>
  </si>
  <si>
    <t>New Bedford FY2025 Tax Rate Recapitulation</t>
  </si>
  <si>
    <t>Commercial, industrial &amp; personal tax rate</t>
  </si>
  <si>
    <t>Residential share of the property tax levy</t>
  </si>
  <si>
    <t>share</t>
  </si>
  <si>
    <t>Derived — each class’s levy (assessed value × rate) as a share of the total levy</t>
  </si>
  <si>
    <t>Derived — property tax revenue × residential share</t>
  </si>
  <si>
    <t>Derived — property tax revenue less residential property tax</t>
  </si>
  <si>
    <t>Citywide motor vehicle &amp; other excise</t>
  </si>
  <si>
    <t>New Bedford FY2025 ACFR, Statement of Activities, p. 24 — includes business-registered vehicles and boat excise</t>
  </si>
  <si>
    <t>Average single-family assessed value</t>
  </si>
  <si>
    <t>Massachusetts Department of Revenue, presented at New Bedford’s FY2025 tax classification hearing</t>
  </si>
  <si>
    <t>Average single-family tax bill</t>
  </si>
  <si>
    <t>Derived — average value × residential rate</t>
  </si>
  <si>
    <t>REVENUE SOURCES — WHERE THE CITY’S MONEY CAME FROM</t>
  </si>
  <si>
    <t>ACFR p. 24 — operating and capital grants plus charges for services</t>
  </si>
  <si>
    <t>Derived — see Key figures, row 16</t>
  </si>
  <si>
    <t>Derived — see Key figures, row 17</t>
  </si>
  <si>
    <t>ACFR p. 24 — net of the charter reimbursement reattributed to charter tuition</t>
  </si>
  <si>
    <t>ACFR p. 24 — penalties, interest, investment income, and other local receipts</t>
  </si>
  <si>
    <t>Derived — see Key figures, row 18</t>
  </si>
  <si>
    <t>ACFR p. 24 — transfers in less transfers out</t>
  </si>
  <si>
    <t>Total</t>
  </si>
  <si>
    <t>Equals total governmental revenue (row 7)</t>
  </si>
  <si>
    <t>GOVERNMENTAL FUNCTIONS — NET LOCAL COST</t>
  </si>
  <si>
    <t>Net local cost (FY2025)</t>
  </si>
  <si>
    <t>Outside-funded share</t>
  </si>
  <si>
    <t>ACFR p. 24 — net of program revenue and restricted aid</t>
  </si>
  <si>
    <t>ACFR p. 24</t>
  </si>
  <si>
    <t>DESE FY2025 charter reconciliation — gross $30,659,589 less $6,291,753 state reimbursement</t>
  </si>
  <si>
    <t>ACFR p. 24 — net local cost is slightly negative; fully grant-funded, shown as $0 on the receipt</t>
  </si>
  <si>
    <t>Total — all 9 functions</t>
  </si>
  <si>
    <t>Net local cost across the full ledger</t>
  </si>
  <si>
    <t>Distribution base — 8 positive-net functions</t>
  </si>
  <si>
    <t>Base used to distribute a household’s property tax across functions</t>
  </si>
  <si>
    <t>New Bedford FY2025 Taxpayer Receipt — Workbook Notes</t>
  </si>
  <si>
    <t>What this is</t>
  </si>
  <si>
    <t>An auditable companion to the New Bedford FY2025 Taxpayer Receipt. The Receipt sheet reproduces the</t>
  </si>
  <si>
    <t>receipt with live formulas; the Data sheet holds every underlying figure with its source. Change the</t>
  </si>
  <si>
    <t>assessed value in the highlighted cell on the Receipt sheet and every figure recalculates.</t>
  </si>
  <si>
    <t>Method, in brief</t>
  </si>
  <si>
    <t>The receipt follows a net-local-cost approach modeled on the National Priorities Project federal receipt.</t>
  </si>
  <si>
    <t>Each function’s net local cost is its gross expense less program revenue and restricted aid — the part</t>
  </si>
  <si>
    <t>carried by local revenue. A household’s residential property tax is then distributed across functions in</t>
  </si>
  <si>
    <t>proportion to each function’s share of net local cost. Charter tuition is separated from education, with</t>
  </si>
  <si>
    <t>the state charter reimbursement attributed to it as an offset. The full methodology is in methodology.md,</t>
  </si>
  <si>
    <t>in the same repository.</t>
  </si>
  <si>
    <t>Sources</t>
  </si>
  <si>
    <t>• New Bedford FY2025 Annual Comprehensive Financial Report (ACFR) — audited by Hague, Sahady &amp; Co., CPAs</t>
  </si>
  <si>
    <t>• Massachusetts DESE FY2025 charter school tuition reconciliation</t>
  </si>
  <si>
    <t>• New Bedford FY2025 Adopted Budget</t>
  </si>
  <si>
    <t>• New Bedford FY2025 Tax Rate Recapitulation</t>
  </si>
  <si>
    <t>• Massachusetts Department of Revenue — FY2025 tax classification hearing</t>
  </si>
  <si>
    <t>Notes on presentation</t>
  </si>
  <si>
    <t>Function shares are shown here to one decimal; the published receipt rounds them to whole percents.</t>
  </si>
  <si>
    <t>Financial figures are audited or reconciled FY2025 actuals; the average single-family assessed value is</t>
  </si>
  <si>
    <t>the Department of Revenue’s reported figure, used only as the calculator’s default.</t>
  </si>
  <si>
    <t>An independent taxpayer receipt prepared by Mike Goodman, with analytical and development support</t>
  </si>
  <si>
    <t>from Claude (Anthropic). Published at Notes on the Commonwealth: https://commonwealthnotes.substack.com</t>
  </si>
  <si>
    <t>Not a publication of the City of New Bedford, and not reviewed or endorsed by the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</si>
</sst>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A2A38"/>
      <name val="Arial"/>
      <family val="2"/>
    </font>
    <font>
      <i/>
      <sz val="10"/>
      <color rgb="FF5A5448"/>
      <name val="Arial"/>
      <family val="2"/>
    </font>
    <font>
      <b/>
      <sz val="10"/>
      <color rgb="FF000000"/>
      <name val="Arial"/>
      <family val="2"/>
    </font>
    <font>
      <b/>
      <sz val="11"/>
      <color rgb="FF0000FF"/>
      <name val="Arial"/>
      <family val="2"/>
    </font>
    <font>
      <i/>
      <sz val="9"/>
      <color rgb="FF5A5448"/>
      <name val="Arial"/>
      <family val="2"/>
    </font>
    <font>
      <b/>
      <sz val="11"/>
      <color rgb="FF1A2A38"/>
      <name val="Arial"/>
      <family val="2"/>
    </font>
    <font>
      <b/>
      <sz val="11"/>
      <color rgb="FF008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EDEAE0"/>
      </patternFill>
    </fill>
    <fill>
      <patternFill patternType="solid">
        <fgColor rgb="FFEDEAE0"/>
        <bgColor rgb="FFFFFFFF"/>
      </patternFill>
    </fill>
    <fill>
      <patternFill patternType="solid">
        <fgColor rgb="FF3A4A5C"/>
        <bgColor rgb="FF5A5448"/>
      </patternFill>
    </fill>
  </fills>
  <borders count="3">
    <border>
      <left/>
      <right/>
      <top/>
      <bottom/>
      <diagonal/>
    </border>
    <border>
      <left style="thin">
        <color rgb="FFBFB9A8"/>
      </left>
      <right style="thin">
        <color rgb="FFBFB9A8"/>
      </right>
      <top style="thin">
        <color rgb="FFBFB9A8"/>
      </top>
      <bottom style="thin">
        <color rgb="FFBFB9A8"/>
      </bottom>
      <diagonal/>
    </border>
    <border>
      <left/>
      <right/>
      <top style="medium">
        <color rgb="FF3A4A5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/>
    <xf numFmtId="164" fontId="4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3" borderId="0" xfId="0" applyFont="1" applyFill="1"/>
    <xf numFmtId="165" fontId="7" fillId="3" borderId="0" xfId="0" applyNumberFormat="1" applyFont="1" applyFill="1"/>
    <xf numFmtId="0" fontId="0" fillId="3" borderId="0" xfId="0" applyFill="1"/>
    <xf numFmtId="0" fontId="8" fillId="4" borderId="0" xfId="0" applyFont="1" applyFill="1" applyAlignment="1">
      <alignment horizontal="left" wrapText="1"/>
    </xf>
    <xf numFmtId="0" fontId="8" fillId="4" borderId="0" xfId="0" applyFont="1" applyFill="1" applyAlignment="1">
      <alignment horizontal="right" wrapText="1"/>
    </xf>
    <xf numFmtId="0" fontId="9" fillId="0" borderId="0" xfId="0" applyFont="1"/>
    <xf numFmtId="164" fontId="10" fillId="0" borderId="0" xfId="0" applyNumberFormat="1" applyFont="1"/>
    <xf numFmtId="165" fontId="9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66" fontId="10" fillId="0" borderId="0" xfId="0" applyNumberFormat="1" applyFont="1"/>
    <xf numFmtId="0" fontId="9" fillId="0" borderId="0" xfId="0" applyFont="1" applyAlignment="1">
      <alignment horizontal="right"/>
    </xf>
    <xf numFmtId="0" fontId="0" fillId="0" borderId="2" xfId="0" applyBorder="1"/>
    <xf numFmtId="164" fontId="11" fillId="0" borderId="0" xfId="0" applyNumberFormat="1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wrapText="1"/>
    </xf>
    <xf numFmtId="164" fontId="9" fillId="0" borderId="0" xfId="0" applyNumberFormat="1" applyFont="1"/>
    <xf numFmtId="165" fontId="11" fillId="0" borderId="0" xfId="0" applyNumberFormat="1" applyFont="1"/>
    <xf numFmtId="10" fontId="9" fillId="0" borderId="0" xfId="0" applyNumberFormat="1" applyFont="1"/>
    <xf numFmtId="0" fontId="5" fillId="0" borderId="2" xfId="0" applyFont="1" applyBorder="1"/>
    <xf numFmtId="166" fontId="11" fillId="0" borderId="0" xfId="0" applyNumberFormat="1" applyFont="1" applyAlignment="1">
      <alignment horizontal="center"/>
    </xf>
    <xf numFmtId="164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9A8"/>
      <rgbColor rgb="FF808080"/>
      <rgbColor rgb="FF9999FF"/>
      <rgbColor rgb="FF993366"/>
      <rgbColor rgb="FFEDEA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448"/>
      <rgbColor rgb="FF969696"/>
      <rgbColor rgb="FF003366"/>
      <rgbColor rgb="FF339966"/>
      <rgbColor rgb="FF003300"/>
      <rgbColor rgb="FF333300"/>
      <rgbColor rgb="FF993300"/>
      <rgbColor rgb="FF993366"/>
      <rgbColor rgb="FF3A4A5C"/>
      <rgbColor rgb="FF1A2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tabSelected="1" zoomScaleNormal="100" workbookViewId="0">
      <selection sqref="A1:D1"/>
    </sheetView>
  </sheetViews>
  <sheetFormatPr baseColWidth="10" defaultColWidth="8.6640625" defaultRowHeight="15" x14ac:dyDescent="0.2"/>
  <cols>
    <col min="1" max="1" width="44" customWidth="1"/>
    <col min="2" max="4" width="18" customWidth="1"/>
  </cols>
  <sheetData>
    <row r="1" spans="1:4" ht="18" x14ac:dyDescent="0.2">
      <c r="A1" s="3" t="s">
        <v>0</v>
      </c>
      <c r="B1" s="3"/>
      <c r="C1" s="3"/>
      <c r="D1" s="3"/>
    </row>
    <row r="2" spans="1:4" x14ac:dyDescent="0.2">
      <c r="A2" s="2" t="s">
        <v>1</v>
      </c>
      <c r="B2" s="2"/>
      <c r="C2" s="2"/>
      <c r="D2" s="2"/>
    </row>
    <row r="4" spans="1:4" x14ac:dyDescent="0.2">
      <c r="A4" s="5" t="s">
        <v>2</v>
      </c>
      <c r="B4" s="6">
        <v>393323</v>
      </c>
      <c r="C4" s="1" t="s">
        <v>3</v>
      </c>
      <c r="D4" s="1"/>
    </row>
    <row r="6" spans="1:4" x14ac:dyDescent="0.2">
      <c r="A6" s="8" t="s">
        <v>4</v>
      </c>
      <c r="B6" s="9">
        <f>B4*Data!B13/1000</f>
        <v>4448.4831299999996</v>
      </c>
      <c r="C6" s="1" t="s">
        <v>5</v>
      </c>
      <c r="D6" s="1"/>
    </row>
    <row r="8" spans="1:4" x14ac:dyDescent="0.2">
      <c r="A8" s="8" t="s">
        <v>6</v>
      </c>
      <c r="B8" s="10"/>
      <c r="C8" s="10"/>
      <c r="D8" s="10"/>
    </row>
    <row r="9" spans="1:4" x14ac:dyDescent="0.2">
      <c r="A9" s="1" t="s">
        <v>7</v>
      </c>
      <c r="B9" s="1"/>
      <c r="C9" s="1"/>
      <c r="D9" s="1"/>
    </row>
    <row r="10" spans="1:4" x14ac:dyDescent="0.2">
      <c r="A10" s="11" t="s">
        <v>8</v>
      </c>
      <c r="B10" s="12" t="s">
        <v>9</v>
      </c>
      <c r="C10" s="12" t="s">
        <v>10</v>
      </c>
    </row>
    <row r="11" spans="1:4" x14ac:dyDescent="0.2">
      <c r="A11" s="13" t="s">
        <v>11</v>
      </c>
      <c r="B11" s="14">
        <f>Data!B24</f>
        <v>516934715</v>
      </c>
      <c r="C11" s="15">
        <f t="shared" ref="C11:C18" si="0">B11/$B$12</f>
        <v>4.6600907126842968</v>
      </c>
    </row>
    <row r="12" spans="1:4" x14ac:dyDescent="0.2">
      <c r="A12" s="13" t="s">
        <v>12</v>
      </c>
      <c r="B12" s="14">
        <f>Data!B25</f>
        <v>110928037</v>
      </c>
      <c r="C12" s="15">
        <f t="shared" si="0"/>
        <v>1</v>
      </c>
    </row>
    <row r="13" spans="1:4" x14ac:dyDescent="0.2">
      <c r="A13" s="13" t="s">
        <v>13</v>
      </c>
      <c r="B13" s="14">
        <f>Data!B26</f>
        <v>44151002</v>
      </c>
      <c r="C13" s="15">
        <f t="shared" si="0"/>
        <v>0.39801481387433185</v>
      </c>
    </row>
    <row r="14" spans="1:4" x14ac:dyDescent="0.2">
      <c r="A14" s="13" t="s">
        <v>14</v>
      </c>
      <c r="B14" s="14">
        <f>Data!B27</f>
        <v>22033642</v>
      </c>
      <c r="C14" s="15">
        <f t="shared" si="0"/>
        <v>0.19863005418548965</v>
      </c>
    </row>
    <row r="15" spans="1:4" x14ac:dyDescent="0.2">
      <c r="A15" s="13" t="s">
        <v>15</v>
      </c>
      <c r="B15" s="14">
        <f>Data!B28</f>
        <v>20066710</v>
      </c>
      <c r="C15" s="15">
        <f t="shared" si="0"/>
        <v>0.18089845040708688</v>
      </c>
    </row>
    <row r="16" spans="1:4" x14ac:dyDescent="0.2">
      <c r="A16" s="13" t="s">
        <v>16</v>
      </c>
      <c r="B16" s="14">
        <f>Data!B29</f>
        <v>9837910</v>
      </c>
      <c r="C16" s="15">
        <f t="shared" si="0"/>
        <v>8.8687317165812643E-2</v>
      </c>
    </row>
    <row r="17" spans="1:4" x14ac:dyDescent="0.2">
      <c r="A17" s="13" t="s">
        <v>17</v>
      </c>
      <c r="B17" s="14">
        <f>Data!B30</f>
        <v>7983185</v>
      </c>
      <c r="C17" s="15">
        <f t="shared" si="0"/>
        <v>7.1967243051456867E-2</v>
      </c>
    </row>
    <row r="18" spans="1:4" x14ac:dyDescent="0.2">
      <c r="A18" s="16" t="s">
        <v>18</v>
      </c>
      <c r="B18" s="17">
        <f>SUM(B11:B17)</f>
        <v>731935201</v>
      </c>
      <c r="C18" s="18">
        <f t="shared" si="0"/>
        <v>6.5982885913684743</v>
      </c>
    </row>
    <row r="20" spans="1:4" x14ac:dyDescent="0.2">
      <c r="A20" s="8" t="s">
        <v>19</v>
      </c>
      <c r="B20" s="10"/>
      <c r="C20" s="10"/>
      <c r="D20" s="10"/>
    </row>
    <row r="21" spans="1:4" x14ac:dyDescent="0.2">
      <c r="A21" s="1" t="s">
        <v>20</v>
      </c>
      <c r="B21" s="1"/>
      <c r="C21" s="1"/>
      <c r="D21" s="1"/>
    </row>
    <row r="22" spans="1:4" x14ac:dyDescent="0.2">
      <c r="A22" s="11" t="s">
        <v>21</v>
      </c>
      <c r="B22" s="12" t="s">
        <v>22</v>
      </c>
      <c r="C22" s="12" t="s">
        <v>23</v>
      </c>
      <c r="D22" s="12" t="s">
        <v>24</v>
      </c>
    </row>
    <row r="23" spans="1:4" x14ac:dyDescent="0.2">
      <c r="A23" s="13" t="s">
        <v>25</v>
      </c>
      <c r="B23" s="19">
        <f>Data!B35/Data!$B$9</f>
        <v>0.27539072600772202</v>
      </c>
      <c r="C23" s="19">
        <f>Data!C35</f>
        <v>0.29899999999999999</v>
      </c>
      <c r="D23" s="15">
        <f t="shared" ref="D23:D30" si="1">$B$6*B23</f>
        <v>1225.0709988038036</v>
      </c>
    </row>
    <row r="24" spans="1:4" x14ac:dyDescent="0.2">
      <c r="A24" s="13" t="s">
        <v>26</v>
      </c>
      <c r="B24" s="19">
        <f>Data!B36/Data!$B$9</f>
        <v>0.24432341958731066</v>
      </c>
      <c r="C24" s="19">
        <f>Data!C36</f>
        <v>0.878</v>
      </c>
      <c r="D24" s="15">
        <f t="shared" si="1"/>
        <v>1086.868610298063</v>
      </c>
    </row>
    <row r="25" spans="1:4" x14ac:dyDescent="0.2">
      <c r="A25" s="13" t="s">
        <v>27</v>
      </c>
      <c r="B25" s="19">
        <f>Data!B37/Data!$B$9</f>
        <v>0.20011952529724755</v>
      </c>
      <c r="C25" s="19">
        <f>Data!C37</f>
        <v>0.191</v>
      </c>
      <c r="D25" s="15">
        <f t="shared" si="1"/>
        <v>890.22833226841385</v>
      </c>
    </row>
    <row r="26" spans="1:4" x14ac:dyDescent="0.2">
      <c r="A26" s="13" t="s">
        <v>28</v>
      </c>
      <c r="B26" s="19">
        <f>Data!B38/Data!$B$9</f>
        <v>0.11490889742213914</v>
      </c>
      <c r="C26" s="19">
        <f>Data!C38</f>
        <v>0.20499999999999999</v>
      </c>
      <c r="D26" s="15">
        <f t="shared" si="1"/>
        <v>511.17029166928643</v>
      </c>
    </row>
    <row r="27" spans="1:4" x14ac:dyDescent="0.2">
      <c r="A27" s="13" t="s">
        <v>29</v>
      </c>
      <c r="B27" s="19">
        <f>Data!B39/Data!$B$9</f>
        <v>8.2117394215162912E-2</v>
      </c>
      <c r="C27" s="19">
        <f>Data!C39</f>
        <v>0.82799999999999996</v>
      </c>
      <c r="D27" s="15">
        <f t="shared" si="1"/>
        <v>365.29784284571178</v>
      </c>
    </row>
    <row r="28" spans="1:4" x14ac:dyDescent="0.2">
      <c r="A28" s="13" t="s">
        <v>30</v>
      </c>
      <c r="B28" s="19">
        <f>Data!B40/Data!$B$9</f>
        <v>3.7338050892148297E-2</v>
      </c>
      <c r="C28" s="19">
        <f>Data!C40</f>
        <v>0</v>
      </c>
      <c r="D28" s="15">
        <f t="shared" si="1"/>
        <v>166.09768950080314</v>
      </c>
    </row>
    <row r="29" spans="1:4" x14ac:dyDescent="0.2">
      <c r="A29" s="13" t="s">
        <v>31</v>
      </c>
      <c r="B29" s="19">
        <f>Data!B41/Data!$B$9</f>
        <v>3.0764381176598164E-2</v>
      </c>
      <c r="C29" s="19">
        <f>Data!C41</f>
        <v>0.25700000000000001</v>
      </c>
      <c r="D29" s="15">
        <f t="shared" si="1"/>
        <v>136.85483066898647</v>
      </c>
    </row>
    <row r="30" spans="1:4" x14ac:dyDescent="0.2">
      <c r="A30" s="13" t="s">
        <v>32</v>
      </c>
      <c r="B30" s="19">
        <f>Data!B42/Data!$B$9</f>
        <v>1.5037605401671239E-2</v>
      </c>
      <c r="C30" s="19">
        <f>Data!C42</f>
        <v>0.70499999999999996</v>
      </c>
      <c r="D30" s="15">
        <f t="shared" si="1"/>
        <v>66.894533944931368</v>
      </c>
    </row>
    <row r="31" spans="1:4" x14ac:dyDescent="0.2">
      <c r="A31" s="13" t="s">
        <v>33</v>
      </c>
      <c r="B31" s="20" t="s">
        <v>34</v>
      </c>
      <c r="C31" s="19">
        <f>Data!C43</f>
        <v>1</v>
      </c>
      <c r="D31" s="15">
        <v>0</v>
      </c>
    </row>
    <row r="32" spans="1:4" x14ac:dyDescent="0.2">
      <c r="A32" s="16" t="s">
        <v>35</v>
      </c>
      <c r="B32" s="21"/>
      <c r="C32" s="21"/>
      <c r="D32" s="18">
        <f>SUM(D23:D31)</f>
        <v>4448.4831299999996</v>
      </c>
    </row>
    <row r="34" spans="1:4" x14ac:dyDescent="0.2">
      <c r="A34" s="1" t="s">
        <v>36</v>
      </c>
      <c r="B34" s="1"/>
      <c r="C34" s="1"/>
      <c r="D34" s="1"/>
    </row>
    <row r="35" spans="1:4" x14ac:dyDescent="0.2">
      <c r="A35" s="1" t="s">
        <v>37</v>
      </c>
      <c r="B35" s="1"/>
      <c r="C35" s="1"/>
      <c r="D35" s="1"/>
    </row>
  </sheetData>
  <mergeCells count="8">
    <mergeCell ref="A21:D21"/>
    <mergeCell ref="A34:D34"/>
    <mergeCell ref="A35:D35"/>
    <mergeCell ref="A1:D1"/>
    <mergeCell ref="A2:D2"/>
    <mergeCell ref="C4:D4"/>
    <mergeCell ref="C6:D6"/>
    <mergeCell ref="A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2" width="18" customWidth="1"/>
    <col min="3" max="3" width="12" customWidth="1"/>
    <col min="4" max="4" width="62" customWidth="1"/>
  </cols>
  <sheetData>
    <row r="1" spans="1:4" ht="18" x14ac:dyDescent="0.2">
      <c r="A1" s="3" t="s">
        <v>38</v>
      </c>
      <c r="B1" s="3"/>
      <c r="C1" s="3"/>
      <c r="D1" s="3"/>
    </row>
    <row r="2" spans="1:4" x14ac:dyDescent="0.2">
      <c r="A2" s="2" t="s">
        <v>39</v>
      </c>
      <c r="B2" s="2"/>
      <c r="C2" s="2"/>
      <c r="D2" s="2"/>
    </row>
    <row r="4" spans="1:4" x14ac:dyDescent="0.2">
      <c r="A4" s="8" t="s">
        <v>40</v>
      </c>
      <c r="B4" s="10"/>
      <c r="C4" s="10"/>
      <c r="D4" s="10"/>
    </row>
    <row r="5" spans="1:4" x14ac:dyDescent="0.2">
      <c r="A5" s="11" t="s">
        <v>41</v>
      </c>
      <c r="B5" s="11" t="s">
        <v>42</v>
      </c>
      <c r="C5" s="11" t="s">
        <v>43</v>
      </c>
      <c r="D5" s="11" t="s">
        <v>44</v>
      </c>
    </row>
    <row r="6" spans="1:4" x14ac:dyDescent="0.2">
      <c r="A6" s="13" t="s">
        <v>45</v>
      </c>
      <c r="B6" s="22">
        <v>729655324</v>
      </c>
      <c r="C6" s="23" t="s">
        <v>46</v>
      </c>
      <c r="D6" s="24" t="s">
        <v>47</v>
      </c>
    </row>
    <row r="7" spans="1:4" ht="27" x14ac:dyDescent="0.2">
      <c r="A7" s="13" t="s">
        <v>48</v>
      </c>
      <c r="B7" s="22">
        <v>731935201</v>
      </c>
      <c r="C7" s="23" t="s">
        <v>46</v>
      </c>
      <c r="D7" s="24" t="s">
        <v>49</v>
      </c>
    </row>
    <row r="8" spans="1:4" x14ac:dyDescent="0.2">
      <c r="A8" s="13" t="s">
        <v>50</v>
      </c>
      <c r="B8" s="25">
        <f>B44</f>
        <v>211903120</v>
      </c>
      <c r="C8" s="23" t="s">
        <v>46</v>
      </c>
      <c r="D8" s="24" t="s">
        <v>51</v>
      </c>
    </row>
    <row r="9" spans="1:4" x14ac:dyDescent="0.2">
      <c r="A9" s="13" t="s">
        <v>52</v>
      </c>
      <c r="B9" s="25">
        <f>B45</f>
        <v>212062221</v>
      </c>
      <c r="C9" s="23" t="s">
        <v>46</v>
      </c>
      <c r="D9" s="24" t="s">
        <v>53</v>
      </c>
    </row>
    <row r="10" spans="1:4" x14ac:dyDescent="0.2">
      <c r="A10" s="13" t="s">
        <v>54</v>
      </c>
      <c r="B10" s="22">
        <v>155079039</v>
      </c>
      <c r="C10" s="23" t="s">
        <v>46</v>
      </c>
      <c r="D10" s="24" t="s">
        <v>47</v>
      </c>
    </row>
    <row r="11" spans="1:4" x14ac:dyDescent="0.2">
      <c r="A11" s="13" t="s">
        <v>55</v>
      </c>
      <c r="B11" s="22">
        <v>9818849124</v>
      </c>
      <c r="C11" s="23" t="s">
        <v>46</v>
      </c>
      <c r="D11" s="24" t="s">
        <v>56</v>
      </c>
    </row>
    <row r="12" spans="1:4" x14ac:dyDescent="0.2">
      <c r="A12" s="13" t="s">
        <v>57</v>
      </c>
      <c r="B12" s="22">
        <v>1934217613</v>
      </c>
      <c r="C12" s="23" t="s">
        <v>46</v>
      </c>
      <c r="D12" s="24" t="s">
        <v>56</v>
      </c>
    </row>
    <row r="13" spans="1:4" x14ac:dyDescent="0.2">
      <c r="A13" s="13" t="s">
        <v>58</v>
      </c>
      <c r="B13" s="26">
        <v>11.31</v>
      </c>
      <c r="C13" s="23" t="s">
        <v>59</v>
      </c>
      <c r="D13" s="24" t="s">
        <v>60</v>
      </c>
    </row>
    <row r="14" spans="1:4" x14ac:dyDescent="0.2">
      <c r="A14" s="13" t="s">
        <v>61</v>
      </c>
      <c r="B14" s="26">
        <v>22.85</v>
      </c>
      <c r="C14" s="23" t="s">
        <v>59</v>
      </c>
      <c r="D14" s="24" t="s">
        <v>60</v>
      </c>
    </row>
    <row r="15" spans="1:4" x14ac:dyDescent="0.2">
      <c r="A15" s="13" t="s">
        <v>62</v>
      </c>
      <c r="B15" s="27">
        <f>ROUND((B11*B13)/(B11*B13+B12*B14),4)</f>
        <v>0.71530000000000005</v>
      </c>
      <c r="C15" s="23" t="s">
        <v>63</v>
      </c>
      <c r="D15" s="24" t="s">
        <v>64</v>
      </c>
    </row>
    <row r="16" spans="1:4" x14ac:dyDescent="0.2">
      <c r="A16" s="13" t="s">
        <v>12</v>
      </c>
      <c r="B16" s="25">
        <f>ROUND(B10*B15,0)</f>
        <v>110928037</v>
      </c>
      <c r="C16" s="23" t="s">
        <v>46</v>
      </c>
      <c r="D16" s="24" t="s">
        <v>65</v>
      </c>
    </row>
    <row r="17" spans="1:4" x14ac:dyDescent="0.2">
      <c r="A17" s="13" t="s">
        <v>13</v>
      </c>
      <c r="B17" s="25">
        <f>B10-B16</f>
        <v>44151002</v>
      </c>
      <c r="C17" s="23" t="s">
        <v>46</v>
      </c>
      <c r="D17" s="24" t="s">
        <v>66</v>
      </c>
    </row>
    <row r="18" spans="1:4" ht="27" x14ac:dyDescent="0.2">
      <c r="A18" s="13" t="s">
        <v>67</v>
      </c>
      <c r="B18" s="22">
        <v>9837910</v>
      </c>
      <c r="C18" s="23" t="s">
        <v>46</v>
      </c>
      <c r="D18" s="24" t="s">
        <v>68</v>
      </c>
    </row>
    <row r="19" spans="1:4" ht="27" x14ac:dyDescent="0.2">
      <c r="A19" s="13" t="s">
        <v>69</v>
      </c>
      <c r="B19" s="22">
        <v>393323</v>
      </c>
      <c r="C19" s="23" t="s">
        <v>46</v>
      </c>
      <c r="D19" s="24" t="s">
        <v>70</v>
      </c>
    </row>
    <row r="20" spans="1:4" x14ac:dyDescent="0.2">
      <c r="A20" s="13" t="s">
        <v>71</v>
      </c>
      <c r="B20" s="15">
        <f>B19*B13/1000</f>
        <v>4448.4831299999996</v>
      </c>
      <c r="C20" s="23" t="s">
        <v>46</v>
      </c>
      <c r="D20" s="24" t="s">
        <v>72</v>
      </c>
    </row>
    <row r="22" spans="1:4" x14ac:dyDescent="0.2">
      <c r="A22" s="8" t="s">
        <v>73</v>
      </c>
      <c r="B22" s="10"/>
      <c r="C22" s="10"/>
      <c r="D22" s="10"/>
    </row>
    <row r="23" spans="1:4" x14ac:dyDescent="0.2">
      <c r="A23" s="11" t="s">
        <v>8</v>
      </c>
      <c r="B23" s="11" t="s">
        <v>9</v>
      </c>
      <c r="C23" s="11"/>
      <c r="D23" s="11" t="s">
        <v>44</v>
      </c>
    </row>
    <row r="24" spans="1:4" x14ac:dyDescent="0.2">
      <c r="A24" s="13" t="s">
        <v>11</v>
      </c>
      <c r="B24" s="22">
        <v>516934715</v>
      </c>
      <c r="D24" s="24" t="s">
        <v>74</v>
      </c>
    </row>
    <row r="25" spans="1:4" x14ac:dyDescent="0.2">
      <c r="A25" s="13" t="s">
        <v>12</v>
      </c>
      <c r="B25" s="25">
        <f>B16</f>
        <v>110928037</v>
      </c>
      <c r="D25" s="24" t="s">
        <v>75</v>
      </c>
    </row>
    <row r="26" spans="1:4" x14ac:dyDescent="0.2">
      <c r="A26" s="13" t="s">
        <v>13</v>
      </c>
      <c r="B26" s="25">
        <f>B17</f>
        <v>44151002</v>
      </c>
      <c r="D26" s="24" t="s">
        <v>76</v>
      </c>
    </row>
    <row r="27" spans="1:4" x14ac:dyDescent="0.2">
      <c r="A27" s="13" t="s">
        <v>14</v>
      </c>
      <c r="B27" s="22">
        <v>22033642</v>
      </c>
      <c r="D27" s="24" t="s">
        <v>77</v>
      </c>
    </row>
    <row r="28" spans="1:4" x14ac:dyDescent="0.2">
      <c r="A28" s="13" t="s">
        <v>15</v>
      </c>
      <c r="B28" s="22">
        <v>20066710</v>
      </c>
      <c r="D28" s="24" t="s">
        <v>78</v>
      </c>
    </row>
    <row r="29" spans="1:4" x14ac:dyDescent="0.2">
      <c r="A29" s="13" t="s">
        <v>16</v>
      </c>
      <c r="B29" s="25">
        <f>B18</f>
        <v>9837910</v>
      </c>
      <c r="D29" s="24" t="s">
        <v>79</v>
      </c>
    </row>
    <row r="30" spans="1:4" x14ac:dyDescent="0.2">
      <c r="A30" s="13" t="s">
        <v>17</v>
      </c>
      <c r="B30" s="22">
        <v>7983185</v>
      </c>
      <c r="D30" s="24" t="s">
        <v>80</v>
      </c>
    </row>
    <row r="31" spans="1:4" x14ac:dyDescent="0.2">
      <c r="A31" s="16" t="s">
        <v>81</v>
      </c>
      <c r="B31" s="17">
        <f>SUM(B24:B30)</f>
        <v>731935201</v>
      </c>
      <c r="C31" s="21"/>
      <c r="D31" s="28" t="s">
        <v>82</v>
      </c>
    </row>
    <row r="33" spans="1:4" x14ac:dyDescent="0.2">
      <c r="A33" s="8" t="s">
        <v>83</v>
      </c>
      <c r="B33" s="10"/>
      <c r="C33" s="10"/>
      <c r="D33" s="10"/>
    </row>
    <row r="34" spans="1:4" ht="29" x14ac:dyDescent="0.2">
      <c r="A34" s="11" t="s">
        <v>21</v>
      </c>
      <c r="B34" s="11" t="s">
        <v>84</v>
      </c>
      <c r="C34" s="11" t="s">
        <v>85</v>
      </c>
      <c r="D34" s="11" t="s">
        <v>44</v>
      </c>
    </row>
    <row r="35" spans="1:4" x14ac:dyDescent="0.2">
      <c r="A35" s="13" t="s">
        <v>25</v>
      </c>
      <c r="B35" s="22">
        <v>58399969</v>
      </c>
      <c r="C35" s="29">
        <v>0.29899999999999999</v>
      </c>
      <c r="D35" s="24" t="s">
        <v>86</v>
      </c>
    </row>
    <row r="36" spans="1:4" x14ac:dyDescent="0.2">
      <c r="A36" s="13" t="s">
        <v>26</v>
      </c>
      <c r="B36" s="22">
        <v>51811767</v>
      </c>
      <c r="C36" s="29">
        <v>0.878</v>
      </c>
      <c r="D36" s="24" t="s">
        <v>87</v>
      </c>
    </row>
    <row r="37" spans="1:4" x14ac:dyDescent="0.2">
      <c r="A37" s="13" t="s">
        <v>27</v>
      </c>
      <c r="B37" s="22">
        <v>42437791</v>
      </c>
      <c r="C37" s="29">
        <v>0.191</v>
      </c>
      <c r="D37" s="24" t="s">
        <v>87</v>
      </c>
    </row>
    <row r="38" spans="1:4" ht="27" x14ac:dyDescent="0.2">
      <c r="A38" s="13" t="s">
        <v>28</v>
      </c>
      <c r="B38" s="22">
        <v>24367836</v>
      </c>
      <c r="C38" s="29">
        <v>0.20499999999999999</v>
      </c>
      <c r="D38" s="24" t="s">
        <v>88</v>
      </c>
    </row>
    <row r="39" spans="1:4" x14ac:dyDescent="0.2">
      <c r="A39" s="13" t="s">
        <v>29</v>
      </c>
      <c r="B39" s="22">
        <v>17413997</v>
      </c>
      <c r="C39" s="29">
        <v>0.82799999999999996</v>
      </c>
      <c r="D39" s="24" t="s">
        <v>87</v>
      </c>
    </row>
    <row r="40" spans="1:4" x14ac:dyDescent="0.2">
      <c r="A40" s="13" t="s">
        <v>30</v>
      </c>
      <c r="B40" s="22">
        <v>7917990</v>
      </c>
      <c r="C40" s="29">
        <v>0</v>
      </c>
      <c r="D40" s="24" t="s">
        <v>87</v>
      </c>
    </row>
    <row r="41" spans="1:4" x14ac:dyDescent="0.2">
      <c r="A41" s="13" t="s">
        <v>31</v>
      </c>
      <c r="B41" s="22">
        <v>6523963</v>
      </c>
      <c r="C41" s="29">
        <v>0.25700000000000001</v>
      </c>
      <c r="D41" s="24" t="s">
        <v>87</v>
      </c>
    </row>
    <row r="42" spans="1:4" x14ac:dyDescent="0.2">
      <c r="A42" s="13" t="s">
        <v>32</v>
      </c>
      <c r="B42" s="22">
        <v>3188908</v>
      </c>
      <c r="C42" s="29">
        <v>0.70499999999999996</v>
      </c>
      <c r="D42" s="24" t="s">
        <v>87</v>
      </c>
    </row>
    <row r="43" spans="1:4" ht="27" x14ac:dyDescent="0.2">
      <c r="A43" s="13" t="s">
        <v>33</v>
      </c>
      <c r="B43" s="22">
        <v>-159101</v>
      </c>
      <c r="C43" s="29">
        <v>1</v>
      </c>
      <c r="D43" s="24" t="s">
        <v>89</v>
      </c>
    </row>
    <row r="44" spans="1:4" x14ac:dyDescent="0.2">
      <c r="A44" s="16" t="s">
        <v>90</v>
      </c>
      <c r="B44" s="17">
        <f>SUM(B35:B43)</f>
        <v>211903120</v>
      </c>
      <c r="C44" s="21"/>
      <c r="D44" s="28" t="s">
        <v>91</v>
      </c>
    </row>
    <row r="45" spans="1:4" x14ac:dyDescent="0.2">
      <c r="A45" s="5" t="s">
        <v>92</v>
      </c>
      <c r="B45" s="30">
        <f>SUM(B35:B42)</f>
        <v>212062221</v>
      </c>
      <c r="D45" s="7" t="s">
        <v>93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showGridLines="0"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18" x14ac:dyDescent="0.2">
      <c r="A1" s="4" t="s">
        <v>94</v>
      </c>
    </row>
    <row r="3" spans="1:1" x14ac:dyDescent="0.2">
      <c r="A3" s="31" t="s">
        <v>95</v>
      </c>
    </row>
    <row r="4" spans="1:1" x14ac:dyDescent="0.2">
      <c r="A4" s="13" t="s">
        <v>96</v>
      </c>
    </row>
    <row r="5" spans="1:1" x14ac:dyDescent="0.2">
      <c r="A5" s="13" t="s">
        <v>97</v>
      </c>
    </row>
    <row r="6" spans="1:1" x14ac:dyDescent="0.2">
      <c r="A6" s="13" t="s">
        <v>98</v>
      </c>
    </row>
    <row r="8" spans="1:1" x14ac:dyDescent="0.2">
      <c r="A8" s="31" t="s">
        <v>99</v>
      </c>
    </row>
    <row r="9" spans="1:1" x14ac:dyDescent="0.2">
      <c r="A9" s="13" t="s">
        <v>100</v>
      </c>
    </row>
    <row r="10" spans="1:1" x14ac:dyDescent="0.2">
      <c r="A10" s="13" t="s">
        <v>101</v>
      </c>
    </row>
    <row r="11" spans="1:1" x14ac:dyDescent="0.2">
      <c r="A11" s="13" t="s">
        <v>102</v>
      </c>
    </row>
    <row r="12" spans="1:1" x14ac:dyDescent="0.2">
      <c r="A12" s="13" t="s">
        <v>103</v>
      </c>
    </row>
    <row r="13" spans="1:1" x14ac:dyDescent="0.2">
      <c r="A13" s="13" t="s">
        <v>104</v>
      </c>
    </row>
    <row r="14" spans="1:1" x14ac:dyDescent="0.2">
      <c r="A14" s="13" t="s">
        <v>105</v>
      </c>
    </row>
    <row r="16" spans="1:1" x14ac:dyDescent="0.2">
      <c r="A16" s="31" t="s">
        <v>106</v>
      </c>
    </row>
    <row r="17" spans="1:1" x14ac:dyDescent="0.2">
      <c r="A17" s="13" t="s">
        <v>107</v>
      </c>
    </row>
    <row r="18" spans="1:1" x14ac:dyDescent="0.2">
      <c r="A18" s="13" t="s">
        <v>108</v>
      </c>
    </row>
    <row r="19" spans="1:1" x14ac:dyDescent="0.2">
      <c r="A19" s="13" t="s">
        <v>109</v>
      </c>
    </row>
    <row r="20" spans="1:1" x14ac:dyDescent="0.2">
      <c r="A20" s="13" t="s">
        <v>110</v>
      </c>
    </row>
    <row r="21" spans="1:1" x14ac:dyDescent="0.2">
      <c r="A21" s="13" t="s">
        <v>111</v>
      </c>
    </row>
    <row r="23" spans="1:1" x14ac:dyDescent="0.2">
      <c r="A23" s="31" t="s">
        <v>112</v>
      </c>
    </row>
    <row r="24" spans="1:1" x14ac:dyDescent="0.2">
      <c r="A24" s="13" t="s">
        <v>113</v>
      </c>
    </row>
    <row r="25" spans="1:1" x14ac:dyDescent="0.2">
      <c r="A25" s="13" t="s">
        <v>114</v>
      </c>
    </row>
    <row r="26" spans="1:1" x14ac:dyDescent="0.2">
      <c r="A26" s="13" t="s">
        <v>115</v>
      </c>
    </row>
    <row r="28" spans="1:1" x14ac:dyDescent="0.2">
      <c r="A28" s="13" t="s">
        <v>116</v>
      </c>
    </row>
    <row r="29" spans="1:1" x14ac:dyDescent="0.2">
      <c r="A29" s="13" t="s">
        <v>117</v>
      </c>
    </row>
    <row r="30" spans="1:1" x14ac:dyDescent="0.2">
      <c r="A30" s="13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Receipt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Goodman</cp:lastModifiedBy>
  <cp:revision>0</cp:revision>
  <dcterms:created xsi:type="dcterms:W3CDTF">2026-05-18T21:04:34Z</dcterms:created>
  <dcterms:modified xsi:type="dcterms:W3CDTF">2026-05-18T21:15:51Z</dcterms:modified>
  <dc:language>en-US</dc:language>
</cp:coreProperties>
</file>